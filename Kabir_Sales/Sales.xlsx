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Assignment\Assignments\data\"/>
    </mc:Choice>
  </mc:AlternateContent>
  <xr:revisionPtr revIDLastSave="0" documentId="13_ncr:1_{4CE28CEE-BE65-4A3B-BD9A-D3841ECB3A9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</sheets>
  <definedNames>
    <definedName name="Quantity">Sheet1!$E$2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7" i="1" l="1"/>
  <c r="T18" i="1"/>
  <c r="T19" i="1"/>
  <c r="T20" i="1"/>
  <c r="T16" i="1"/>
  <c r="U16" i="1"/>
  <c r="U17" i="1"/>
  <c r="U18" i="1"/>
  <c r="U19" i="1"/>
  <c r="U20" i="1"/>
  <c r="P4" i="1"/>
  <c r="P9" i="1" s="1"/>
  <c r="P5" i="1"/>
  <c r="P6" i="1"/>
  <c r="P7" i="1"/>
  <c r="P8" i="1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7" i="1"/>
  <c r="C8" i="1"/>
  <c r="C9" i="1"/>
  <c r="I19" i="1"/>
  <c r="J22" i="1"/>
  <c r="J21" i="1"/>
  <c r="J20" i="1"/>
  <c r="I27" i="1" s="1"/>
  <c r="J19" i="1"/>
  <c r="I28" i="1" s="1"/>
  <c r="J23" i="1"/>
  <c r="I23" i="1"/>
  <c r="I22" i="1"/>
  <c r="I21" i="1"/>
  <c r="I20" i="1"/>
  <c r="J18" i="1"/>
  <c r="I18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6" i="1"/>
  <c r="C5" i="1"/>
  <c r="C4" i="1"/>
  <c r="C3" i="1"/>
  <c r="K8" i="1" l="1"/>
  <c r="I7" i="1"/>
  <c r="K9" i="1"/>
  <c r="I8" i="1"/>
  <c r="I9" i="1"/>
  <c r="K7" i="1"/>
  <c r="J9" i="1"/>
  <c r="J8" i="1"/>
  <c r="J7" i="1"/>
  <c r="M21" i="1"/>
  <c r="M22" i="1"/>
  <c r="O19" i="1"/>
  <c r="M23" i="1"/>
  <c r="O21" i="1"/>
  <c r="N20" i="1"/>
  <c r="N19" i="1"/>
  <c r="O22" i="1"/>
  <c r="N21" i="1"/>
  <c r="M20" i="1"/>
  <c r="M19" i="1"/>
  <c r="N23" i="1"/>
  <c r="O20" i="1"/>
  <c r="K5" i="1"/>
  <c r="J6" i="1"/>
  <c r="O23" i="1"/>
  <c r="N22" i="1"/>
  <c r="J5" i="1"/>
  <c r="I5" i="1"/>
  <c r="I6" i="1"/>
  <c r="K6" i="1"/>
  <c r="J10" i="1" l="1"/>
  <c r="I10" i="1"/>
  <c r="K10" i="1"/>
  <c r="M26" i="1"/>
  <c r="N26" i="1"/>
  <c r="N24" i="1"/>
  <c r="O26" i="1"/>
  <c r="O24" i="1"/>
  <c r="M24" i="1"/>
  <c r="M25" i="1" l="1"/>
</calcChain>
</file>

<file path=xl/sharedStrings.xml><?xml version="1.0" encoding="utf-8"?>
<sst xmlns="http://schemas.openxmlformats.org/spreadsheetml/2006/main" count="115" uniqueCount="38">
  <si>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</si>
  <si>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</si>
  <si>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</si>
  <si>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</si>
  <si>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</si>
  <si>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</si>
  <si>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</si>
  <si>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</si>
  <si>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</si>
  <si>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</si>
  <si>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</si>
  <si>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</si>
  <si>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</si>
  <si>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</si>
  <si>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</si>
  <si>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</si>
  <si>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</si>
  <si>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</si>
  <si>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</si>
  <si>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</si>
  <si>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</si>
  <si>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</si>
  <si>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</si>
  <si>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</si>
  <si>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</si>
  <si>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>Total quantity sold per year</t>
  </si>
  <si>
    <t>Total quantity sold across all years</t>
  </si>
  <si>
    <t>Average quantity sold per year</t>
  </si>
  <si>
    <t>Lowest transaction amount</t>
  </si>
  <si>
    <t>Highest transaction amount</t>
  </si>
  <si>
    <t>1. INVENTORY IMPACT</t>
  </si>
  <si>
    <t>2. PERFORMANCE EXTREMES</t>
  </si>
  <si>
    <t>3. REPRESENTATIVE ACTIVITY</t>
  </si>
  <si>
    <t>4. FINANCIAL CONTRIBUTION (Total Revenue)</t>
  </si>
  <si>
    <t>Total</t>
  </si>
  <si>
    <t>Most active</t>
  </si>
  <si>
    <t>Quantity (Transactions per sales rep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</si>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</sst>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theme="0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/>
      <bottom/>
      <diagonal/>
    </border>
    <border>
      <left/>
      <right/>
      <top/>
      <bottom style="medium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3" fillId="4" borderId="15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6" xfId="0" applyBorder="1"/>
    <xf numFmtId="164" fontId="1" fillId="0" borderId="5" xfId="1" applyFont="1" applyFill="1" applyBorder="1" applyAlignment="1"/>
    <xf numFmtId="0" fontId="0" fillId="0" borderId="17" xfId="0" applyBorder="1"/>
    <xf numFmtId="4" fontId="0" fillId="0" borderId="1" xfId="0" applyNumberFormat="1" applyBorder="1"/>
    <xf numFmtId="0" fontId="11" fillId="6" borderId="18" xfId="0" applyFont="1" applyFill="1" applyBorder="1"/>
    <xf numFmtId="164" fontId="11" fillId="6" borderId="0" xfId="0" applyNumberFormat="1" applyFont="1" applyFill="1"/>
    <xf numFmtId="0" fontId="10" fillId="7" borderId="0" xfId="0" applyFont="1" applyFill="1" applyAlignment="1">
      <alignment horizontal="center"/>
    </xf>
    <xf numFmtId="0" fontId="8" fillId="5" borderId="18" xfId="0" applyFont="1" applyFill="1" applyBorder="1"/>
    <xf numFmtId="43" fontId="8" fillId="5" borderId="0" xfId="0" applyNumberFormat="1" applyFont="1" applyFill="1"/>
    <xf numFmtId="0" fontId="0" fillId="8" borderId="18" xfId="0" applyFill="1" applyBorder="1"/>
    <xf numFmtId="164" fontId="0" fillId="8" borderId="0" xfId="0" applyNumberFormat="1" applyFill="1"/>
    <xf numFmtId="4" fontId="0" fillId="0" borderId="0" xfId="0" applyNumberFormat="1"/>
    <xf numFmtId="0" fontId="12" fillId="10" borderId="0" xfId="0" applyFont="1" applyFill="1"/>
    <xf numFmtId="0" fontId="12" fillId="10" borderId="19" xfId="0" applyFont="1" applyFill="1" applyBorder="1"/>
    <xf numFmtId="0" fontId="5" fillId="0" borderId="0" xfId="0" applyFont="1"/>
    <xf numFmtId="0" fontId="0" fillId="0" borderId="18" xfId="0" applyBorder="1"/>
    <xf numFmtId="164" fontId="1" fillId="0" borderId="8" xfId="1" applyFont="1" applyFill="1" applyBorder="1" applyAlignment="1"/>
    <xf numFmtId="0" fontId="14" fillId="11" borderId="0" xfId="0" applyFont="1" applyFill="1"/>
    <xf numFmtId="0" fontId="14" fillId="11" borderId="23" xfId="0" applyFont="1" applyFill="1" applyBorder="1"/>
    <xf numFmtId="0" fontId="15" fillId="4" borderId="4" xfId="0" applyFont="1" applyFill="1" applyBorder="1"/>
    <xf numFmtId="0" fontId="13" fillId="0" borderId="6" xfId="0" applyFont="1" applyBorder="1"/>
    <xf numFmtId="43" fontId="0" fillId="0" borderId="0" xfId="0" applyNumberFormat="1"/>
    <xf numFmtId="0" fontId="8" fillId="9" borderId="0" xfId="0" applyFont="1" applyFill="1" applyAlignment="1">
      <alignment horizontal="center"/>
    </xf>
    <xf numFmtId="0" fontId="8" fillId="9" borderId="1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"/>
  <sheetViews>
    <sheetView tabSelected="1" zoomScale="95" zoomScaleNormal="95" workbookViewId="0">
      <selection activeCell="R14" sqref="R14"/>
    </sheetView>
  </sheetViews>
  <sheetFormatPr defaultRowHeight="15" x14ac:dyDescent="0.25"/>
  <cols>
    <col min="2" max="2" width="9.140625" bestFit="1" customWidth="1"/>
    <col min="6" max="6" width="9.7109375" customWidth="1"/>
    <col min="9" max="9" width="11.85546875" bestFit="1" customWidth="1"/>
    <col min="10" max="11" width="10.5703125" bestFit="1" customWidth="1"/>
    <col min="12" max="12" width="12.85546875" customWidth="1"/>
    <col min="13" max="13" width="9.5703125" bestFit="1" customWidth="1"/>
    <col min="15" max="15" width="10.42578125" customWidth="1"/>
    <col min="16" max="16" width="22.28515625" customWidth="1"/>
    <col min="18" max="18" width="10.140625" customWidth="1"/>
    <col min="21" max="21" width="10.140625" bestFit="1" customWidth="1"/>
  </cols>
  <sheetData>
    <row r="1" spans="1:22" ht="25.5" x14ac:dyDescent="0.35">
      <c r="A1" s="51" t="s">
        <v>0</v>
      </c>
      <c r="B1" s="51"/>
      <c r="C1" s="51"/>
      <c r="D1" s="51"/>
      <c r="E1" s="51"/>
      <c r="F1" s="51"/>
    </row>
    <row r="2" spans="1:22" ht="19.5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N2" s="44" t="s">
        <v>32</v>
      </c>
      <c r="O2" s="44"/>
      <c r="P2" s="44"/>
      <c r="T2" s="35"/>
    </row>
    <row r="3" spans="1:22" ht="15.75" thickBot="1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48" t="s">
        <v>24</v>
      </c>
      <c r="J3" s="49"/>
      <c r="K3" s="50"/>
      <c r="N3" s="7"/>
      <c r="O3" s="8" t="s">
        <v>9</v>
      </c>
      <c r="P3" s="40" t="s">
        <v>36</v>
      </c>
    </row>
    <row r="4" spans="1:22" x14ac:dyDescent="0.2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17" t="s">
        <v>4</v>
      </c>
      <c r="I4" s="18">
        <v>2010</v>
      </c>
      <c r="J4" s="19">
        <v>2011</v>
      </c>
      <c r="K4" s="20">
        <v>2012</v>
      </c>
      <c r="N4" s="45" t="s">
        <v>12</v>
      </c>
      <c r="O4" s="13" t="s">
        <v>13</v>
      </c>
      <c r="P4" s="41">
        <f>COUNTIF($D$3:$D$26,O4)</f>
        <v>6</v>
      </c>
      <c r="Q4" s="13"/>
    </row>
    <row r="5" spans="1:22" x14ac:dyDescent="0.2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1" t="s">
        <v>13</v>
      </c>
      <c r="I5" s="22">
        <f t="shared" ref="I5:K6" si="1">SUMIFS($F$3:$F$26, $D$3:$D$26, $H5, $C$3:$C$26, I$4)</f>
        <v>12320</v>
      </c>
      <c r="J5" s="22">
        <f t="shared" si="1"/>
        <v>23100</v>
      </c>
      <c r="K5" s="22">
        <f t="shared" si="1"/>
        <v>25520</v>
      </c>
      <c r="L5" s="42"/>
      <c r="N5" s="46"/>
      <c r="O5" s="13" t="s">
        <v>7</v>
      </c>
      <c r="P5" s="41">
        <f t="shared" ref="P5:P8" si="2">COUNTIF($D$3:$D$26,O5)</f>
        <v>3</v>
      </c>
      <c r="Q5" s="13"/>
    </row>
    <row r="6" spans="1:22" x14ac:dyDescent="0.2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1" t="s">
        <v>7</v>
      </c>
      <c r="I6" s="22">
        <f t="shared" si="1"/>
        <v>16720</v>
      </c>
      <c r="J6" s="22">
        <f t="shared" si="1"/>
        <v>6160</v>
      </c>
      <c r="K6" s="22">
        <f t="shared" si="1"/>
        <v>7920</v>
      </c>
      <c r="L6" s="42" t="s">
        <v>37</v>
      </c>
      <c r="N6" s="46"/>
      <c r="O6" s="13" t="s">
        <v>15</v>
      </c>
      <c r="P6" s="41">
        <f t="shared" si="2"/>
        <v>5</v>
      </c>
      <c r="T6" t="s">
        <v>37</v>
      </c>
    </row>
    <row r="7" spans="1:22" x14ac:dyDescent="0.2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1" t="s">
        <v>15</v>
      </c>
      <c r="I7" s="22">
        <f t="shared" ref="I7:K9" si="3">SUMIFS($F$3:$F$26, $D$3:$D$26, $H7, $C$3:$C$26, I$4)</f>
        <v>26840</v>
      </c>
      <c r="J7" s="22">
        <f t="shared" si="3"/>
        <v>0</v>
      </c>
      <c r="K7" s="22">
        <f t="shared" si="3"/>
        <v>15840</v>
      </c>
      <c r="L7" s="42"/>
      <c r="N7" s="46"/>
      <c r="O7" s="13" t="s">
        <v>18</v>
      </c>
      <c r="P7" s="41">
        <f t="shared" si="2"/>
        <v>3</v>
      </c>
      <c r="Q7" s="13"/>
    </row>
    <row r="8" spans="1:22" ht="15.75" thickBot="1" x14ac:dyDescent="0.3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1" t="s">
        <v>18</v>
      </c>
      <c r="I8" s="22">
        <f t="shared" si="3"/>
        <v>19800</v>
      </c>
      <c r="J8" s="22">
        <f t="shared" si="3"/>
        <v>20900</v>
      </c>
      <c r="K8" s="22">
        <f t="shared" si="3"/>
        <v>11440</v>
      </c>
      <c r="L8" s="42"/>
      <c r="N8" s="47"/>
      <c r="O8" s="15" t="s">
        <v>11</v>
      </c>
      <c r="P8" s="41">
        <f t="shared" si="2"/>
        <v>7</v>
      </c>
      <c r="Q8" s="15"/>
    </row>
    <row r="9" spans="1:22" ht="19.5" thickBot="1" x14ac:dyDescent="0.35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3" t="s">
        <v>11</v>
      </c>
      <c r="I9" s="22">
        <f t="shared" si="3"/>
        <v>29040</v>
      </c>
      <c r="J9" s="22">
        <f t="shared" si="3"/>
        <v>33440</v>
      </c>
      <c r="K9" s="22">
        <f t="shared" si="3"/>
        <v>20240</v>
      </c>
      <c r="L9" s="42"/>
      <c r="N9" s="38" t="s">
        <v>35</v>
      </c>
      <c r="O9" s="38"/>
      <c r="P9" s="39">
        <f>MAX(P4:P8)</f>
        <v>7</v>
      </c>
    </row>
    <row r="10" spans="1:22" x14ac:dyDescent="0.2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  <c r="H10" s="36" t="s">
        <v>34</v>
      </c>
      <c r="I10" s="37">
        <f>SUM(I5:I9)</f>
        <v>104720</v>
      </c>
      <c r="J10" s="37">
        <f t="shared" ref="J10:K10" si="4">SUM(J5:J9)</f>
        <v>83600</v>
      </c>
      <c r="K10" s="37">
        <f t="shared" si="4"/>
        <v>80960</v>
      </c>
      <c r="L10" s="42"/>
    </row>
    <row r="11" spans="1:22" x14ac:dyDescent="0.2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2" x14ac:dyDescent="0.2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2" x14ac:dyDescent="0.25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2" ht="15.75" thickBot="1" x14ac:dyDescent="0.3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K14" s="55" t="s">
        <v>30</v>
      </c>
      <c r="L14" s="55"/>
      <c r="M14" s="55"/>
      <c r="Q14" s="33"/>
      <c r="R14" s="34" t="s">
        <v>33</v>
      </c>
      <c r="S14" s="34"/>
      <c r="T14" s="34"/>
      <c r="U14" s="34"/>
      <c r="V14" s="33"/>
    </row>
    <row r="15" spans="1:22" ht="15.75" thickBot="1" x14ac:dyDescent="0.3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I15" s="27"/>
      <c r="R15" s="7"/>
      <c r="S15" s="8" t="s">
        <v>9</v>
      </c>
      <c r="T15" s="8" t="s">
        <v>10</v>
      </c>
      <c r="U15" s="9" t="s">
        <v>6</v>
      </c>
    </row>
    <row r="16" spans="1:22" ht="15.75" thickBot="1" x14ac:dyDescent="0.3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52" t="s">
        <v>8</v>
      </c>
      <c r="I16" s="53"/>
      <c r="J16" s="54"/>
      <c r="R16" s="45" t="s">
        <v>23</v>
      </c>
      <c r="S16" s="13" t="s">
        <v>13</v>
      </c>
      <c r="T16" s="13">
        <f>SUMIF($D$3:$D$26,$S16,$E$3:$E$26)</f>
        <v>277</v>
      </c>
      <c r="U16" s="24">
        <f>SUMIF($D$3:$D$26,$S16,$F$3:$F$26)</f>
        <v>60940</v>
      </c>
    </row>
    <row r="17" spans="1:21" ht="15.75" thickBot="1" x14ac:dyDescent="0.3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0"/>
      <c r="I17" s="11" t="s">
        <v>10</v>
      </c>
      <c r="J17" s="12" t="s">
        <v>6</v>
      </c>
      <c r="M17" s="48" t="s">
        <v>22</v>
      </c>
      <c r="N17" s="49"/>
      <c r="O17" s="50"/>
      <c r="R17" s="46"/>
      <c r="S17" s="13" t="s">
        <v>7</v>
      </c>
      <c r="T17" s="13">
        <f t="shared" ref="T17:T20" si="5">SUMIF($D$3:$D$26,$S17,$E$3:$E$26)</f>
        <v>140</v>
      </c>
      <c r="U17" s="24">
        <f t="shared" ref="U17:U20" si="6">SUMIF($D$3:$D$26,$S17,$F$3:$F$26)</f>
        <v>30800</v>
      </c>
    </row>
    <row r="18" spans="1:21" x14ac:dyDescent="0.2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4" t="s">
        <v>14</v>
      </c>
      <c r="I18" s="13">
        <f>SUM(E3:E26)</f>
        <v>1224</v>
      </c>
      <c r="J18" s="24">
        <f>SUM(F3:F26)</f>
        <v>269280</v>
      </c>
      <c r="L18" s="17" t="s">
        <v>4</v>
      </c>
      <c r="M18" s="18">
        <v>2010</v>
      </c>
      <c r="N18" s="19">
        <v>2011</v>
      </c>
      <c r="O18" s="20">
        <v>2012</v>
      </c>
      <c r="R18" s="46"/>
      <c r="S18" s="13" t="s">
        <v>15</v>
      </c>
      <c r="T18" s="13">
        <f t="shared" si="5"/>
        <v>194</v>
      </c>
      <c r="U18" s="24">
        <f t="shared" si="6"/>
        <v>42680</v>
      </c>
    </row>
    <row r="19" spans="1:21" x14ac:dyDescent="0.2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4" t="s">
        <v>16</v>
      </c>
      <c r="I19" s="13">
        <f>MIN(E3:E26)</f>
        <v>24</v>
      </c>
      <c r="J19" s="24">
        <f>MIN(F3:F26)</f>
        <v>5280</v>
      </c>
      <c r="L19" s="21" t="s">
        <v>13</v>
      </c>
      <c r="M19" s="22">
        <f t="shared" ref="M19:O23" si="7">SUMIFS($E$3:$E$26,$C$3:$C$26,I$4,$D$3:$D$26,$H5)</f>
        <v>56</v>
      </c>
      <c r="N19" s="22">
        <f t="shared" si="7"/>
        <v>105</v>
      </c>
      <c r="O19" s="22">
        <f t="shared" si="7"/>
        <v>116</v>
      </c>
      <c r="P19" s="42"/>
      <c r="R19" s="46"/>
      <c r="S19" s="13" t="s">
        <v>18</v>
      </c>
      <c r="T19" s="13">
        <f t="shared" si="5"/>
        <v>237</v>
      </c>
      <c r="U19" s="24">
        <f t="shared" si="6"/>
        <v>52140</v>
      </c>
    </row>
    <row r="20" spans="1:21" ht="15.75" thickBot="1" x14ac:dyDescent="0.3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4" t="s">
        <v>17</v>
      </c>
      <c r="I20" s="13">
        <f>MAX(E3:E26)</f>
        <v>95</v>
      </c>
      <c r="J20" s="24">
        <f>MAX(F3:F26)</f>
        <v>20900</v>
      </c>
      <c r="L20" s="21" t="s">
        <v>7</v>
      </c>
      <c r="M20" s="22">
        <f t="shared" si="7"/>
        <v>76</v>
      </c>
      <c r="N20" s="22">
        <f t="shared" si="7"/>
        <v>28</v>
      </c>
      <c r="O20" s="22">
        <f t="shared" si="7"/>
        <v>36</v>
      </c>
      <c r="P20" s="42"/>
      <c r="R20" s="47"/>
      <c r="S20" s="15" t="s">
        <v>11</v>
      </c>
      <c r="T20" s="13">
        <f t="shared" si="5"/>
        <v>376</v>
      </c>
      <c r="U20" s="24">
        <f t="shared" si="6"/>
        <v>82720</v>
      </c>
    </row>
    <row r="21" spans="1:21" x14ac:dyDescent="0.25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4" t="s">
        <v>19</v>
      </c>
      <c r="I21" s="13">
        <f>AVERAGE(E3:E26)</f>
        <v>51</v>
      </c>
      <c r="J21" s="24">
        <f>AVERAGE(F3:F26)</f>
        <v>11220</v>
      </c>
      <c r="L21" s="21" t="s">
        <v>15</v>
      </c>
      <c r="M21" s="22">
        <f t="shared" si="7"/>
        <v>122</v>
      </c>
      <c r="N21" s="22">
        <f t="shared" si="7"/>
        <v>0</v>
      </c>
      <c r="O21" s="22">
        <f t="shared" si="7"/>
        <v>72</v>
      </c>
      <c r="P21" s="42"/>
    </row>
    <row r="22" spans="1:21" x14ac:dyDescent="0.2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  <c r="H22" s="14" t="s">
        <v>20</v>
      </c>
      <c r="I22" s="13">
        <f>COUNT(E3:E26)</f>
        <v>24</v>
      </c>
      <c r="J22" s="13">
        <f>COUNT(F3:F26)</f>
        <v>24</v>
      </c>
      <c r="L22" s="21" t="s">
        <v>18</v>
      </c>
      <c r="M22" s="22">
        <f t="shared" si="7"/>
        <v>90</v>
      </c>
      <c r="N22" s="22">
        <f t="shared" si="7"/>
        <v>95</v>
      </c>
      <c r="O22" s="22">
        <f t="shared" si="7"/>
        <v>52</v>
      </c>
      <c r="P22" s="42"/>
    </row>
    <row r="23" spans="1:21" ht="15.75" thickBot="1" x14ac:dyDescent="0.3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  <c r="H23" s="16" t="s">
        <v>21</v>
      </c>
      <c r="I23" s="13">
        <f>COUNTA(E3:E26)</f>
        <v>24</v>
      </c>
      <c r="J23" s="13">
        <f>COUNTA(F3:F26)</f>
        <v>24</v>
      </c>
      <c r="L23" s="23" t="s">
        <v>11</v>
      </c>
      <c r="M23" s="22">
        <f t="shared" si="7"/>
        <v>132</v>
      </c>
      <c r="N23" s="22">
        <f t="shared" si="7"/>
        <v>152</v>
      </c>
      <c r="O23" s="22">
        <f t="shared" si="7"/>
        <v>92</v>
      </c>
      <c r="P23" s="42"/>
    </row>
    <row r="24" spans="1:21" x14ac:dyDescent="0.2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  <c r="L24" s="25" t="s">
        <v>25</v>
      </c>
      <c r="M24" s="26">
        <f>SUM(M19:M23)</f>
        <v>476</v>
      </c>
      <c r="N24" s="26">
        <f t="shared" ref="N24:O24" si="8">SUM(N19:N23)</f>
        <v>380</v>
      </c>
      <c r="O24" s="26">
        <f t="shared" si="8"/>
        <v>368</v>
      </c>
    </row>
    <row r="25" spans="1:21" x14ac:dyDescent="0.2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  <c r="L25" s="28" t="s">
        <v>26</v>
      </c>
      <c r="M25" s="29">
        <f>SUM(M24:N24:O24)</f>
        <v>1224</v>
      </c>
    </row>
    <row r="26" spans="1:21" x14ac:dyDescent="0.2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  <c r="H26" s="43" t="s">
        <v>31</v>
      </c>
      <c r="I26" s="43"/>
      <c r="J26" s="43"/>
      <c r="L26" s="30" t="s">
        <v>27</v>
      </c>
      <c r="M26" s="31">
        <f>AVERAGE(M19:M23)</f>
        <v>95.2</v>
      </c>
      <c r="N26" s="31">
        <f t="shared" ref="N26:O26" si="9">AVERAGE(N19:N23)</f>
        <v>76</v>
      </c>
      <c r="O26" s="31">
        <f t="shared" si="9"/>
        <v>73.599999999999994</v>
      </c>
    </row>
    <row r="27" spans="1:21" x14ac:dyDescent="0.25">
      <c r="H27" t="s">
        <v>29</v>
      </c>
      <c r="I27" s="32">
        <f>MAX(H20,J20)</f>
        <v>20900</v>
      </c>
    </row>
    <row r="28" spans="1:21" x14ac:dyDescent="0.25">
      <c r="H28" t="s">
        <v>28</v>
      </c>
      <c r="I28" s="32">
        <f>MIN(H19,J19)</f>
        <v>5280</v>
      </c>
    </row>
  </sheetData>
  <mergeCells count="9">
    <mergeCell ref="H26:J26"/>
    <mergeCell ref="N2:P2"/>
    <mergeCell ref="R16:R20"/>
    <mergeCell ref="I3:K3"/>
    <mergeCell ref="A1:F1"/>
    <mergeCell ref="H16:J16"/>
    <mergeCell ref="N4:N8"/>
    <mergeCell ref="M17:O17"/>
    <mergeCell ref="K14:M14"/>
  </mergeCells>
  <conditionalFormatting sqref="F1:F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676D-C035-4947-B3E4-A5D853B713BF}">
  <dimension ref="A1:K26"/>
  <sheetViews>
    <sheetView workbookViewId="0">
      <selection activeCell="G2" sqref="G2"/>
    </sheetView>
  </sheetViews>
  <sheetFormatPr defaultRowHeight="15" x14ac:dyDescent="0.25"/>
  <sheetData>
    <row r="1" spans="1:11" ht="25.5" x14ac:dyDescent="0.35">
      <c r="A1" s="56" t="s">
        <v>0</v>
      </c>
      <c r="B1" s="57"/>
      <c r="C1" s="57"/>
      <c r="D1" s="57"/>
      <c r="E1" s="57"/>
      <c r="F1" s="58"/>
    </row>
    <row r="2" spans="1:11" ht="18.7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/>
    </row>
    <row r="3" spans="1:11" ht="18.75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4">
        <v>16720</v>
      </c>
      <c r="K3" s="35"/>
    </row>
    <row r="4" spans="1:11" x14ac:dyDescent="0.2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4">
        <v>12980</v>
      </c>
    </row>
    <row r="5" spans="1:11" x14ac:dyDescent="0.2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G5" s="4">
        <v>12320</v>
      </c>
    </row>
    <row r="6" spans="1:11" x14ac:dyDescent="0.2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G6" s="4">
        <v>10560</v>
      </c>
    </row>
    <row r="7" spans="1:11" x14ac:dyDescent="0.2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G7" s="4">
        <v>8800</v>
      </c>
    </row>
    <row r="8" spans="1:11" x14ac:dyDescent="0.25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G8" s="4">
        <v>19800</v>
      </c>
    </row>
    <row r="9" spans="1:11" x14ac:dyDescent="0.25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G9" s="4">
        <v>5280</v>
      </c>
    </row>
    <row r="10" spans="1:11" x14ac:dyDescent="0.2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  <c r="G10" s="4">
        <v>11000</v>
      </c>
    </row>
    <row r="11" spans="1:11" x14ac:dyDescent="0.2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  <c r="G11" s="4">
        <v>7260</v>
      </c>
    </row>
    <row r="12" spans="1:11" x14ac:dyDescent="0.2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  <c r="G12" s="4">
        <v>20900</v>
      </c>
    </row>
    <row r="13" spans="1:11" x14ac:dyDescent="0.25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  <c r="G13" s="4">
        <v>12540</v>
      </c>
    </row>
    <row r="14" spans="1:11" x14ac:dyDescent="0.25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G14" s="4">
        <v>10560</v>
      </c>
    </row>
    <row r="15" spans="1:11" x14ac:dyDescent="0.25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G15" s="4">
        <v>19360</v>
      </c>
    </row>
    <row r="16" spans="1:11" x14ac:dyDescent="0.2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G16" s="4">
        <v>6160</v>
      </c>
    </row>
    <row r="17" spans="1:7" x14ac:dyDescent="0.2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G17" s="4">
        <v>14080</v>
      </c>
    </row>
    <row r="18" spans="1:7" x14ac:dyDescent="0.2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G18" s="4">
        <v>11220</v>
      </c>
    </row>
    <row r="19" spans="1:7" x14ac:dyDescent="0.2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G19" s="4">
        <v>5500</v>
      </c>
    </row>
    <row r="20" spans="1:7" x14ac:dyDescent="0.25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G20" s="4">
        <v>7040</v>
      </c>
    </row>
    <row r="21" spans="1:7" x14ac:dyDescent="0.25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G21" s="4">
        <v>5280</v>
      </c>
    </row>
    <row r="22" spans="1:7" x14ac:dyDescent="0.2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  <c r="G22" s="4">
        <v>10340</v>
      </c>
    </row>
    <row r="23" spans="1:7" x14ac:dyDescent="0.2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  <c r="G23" s="4">
        <v>9020</v>
      </c>
    </row>
    <row r="24" spans="1:7" x14ac:dyDescent="0.2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  <c r="G24" s="4">
        <v>11440</v>
      </c>
    </row>
    <row r="25" spans="1:7" x14ac:dyDescent="0.2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  <c r="G25" s="4">
        <v>7920</v>
      </c>
    </row>
    <row r="26" spans="1:7" x14ac:dyDescent="0.2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  <c r="G26" s="4">
        <v>13200</v>
      </c>
    </row>
  </sheetData>
  <mergeCells count="1">
    <mergeCell ref="A1:F1"/>
  </mergeCells>
  <conditionalFormatting sqref="G1:G1048576">
    <cfRule type="cellIs" dxfId="0" priority="1" operator="greaterThan">
      <formula>15000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Quantity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Halimat Oyiza Aliyu</cp:lastModifiedBy>
  <cp:lastPrinted>2026-05-03T15:27:36Z</cp:lastPrinted>
  <dcterms:created xsi:type="dcterms:W3CDTF">2024-05-08T21:08:42Z</dcterms:created>
  <dcterms:modified xsi:type="dcterms:W3CDTF">2026-05-03T20:12:47Z</dcterms:modified>
</cp:coreProperties>
</file>